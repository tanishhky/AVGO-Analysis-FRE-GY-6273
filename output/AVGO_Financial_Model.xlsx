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ver" sheetId="1" state="visible" r:id="rId1"/>
    <sheet name="2. Assumptions" sheetId="2" state="visible" r:id="rId2"/>
    <sheet name="3. Income Statement" sheetId="3" state="visible" r:id="rId3"/>
    <sheet name="4. DCF" sheetId="4" state="visible" r:id="rId4"/>
    <sheet name="5. WACC" sheetId="5" state="visible" r:id="rId5"/>
    <sheet name="6. Sensitivity" sheetId="6" state="visible" r:id="rId6"/>
    <sheet name="7. Comps" sheetId="7" state="visible" r:id="rId7"/>
    <sheet name="8. SOTP" sheetId="8" state="visible" r:id="rId8"/>
    <sheet name="9. Monte Carlo" sheetId="9" state="visible" r:id="rId9"/>
    <sheet name="10. Football Fiel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0.0"/>
    <numFmt numFmtId="167" formatCode="0.000"/>
    <numFmt numFmtId="168" formatCode="$#,##0"/>
    <numFmt numFmtId="169" formatCode="0.0&quot;x&quot;"/>
    <numFmt numFmtId="170" formatCode="$0.00"/>
  </numFmts>
  <fonts count="24">
    <font>
      <name val="Calibri"/>
      <family val="2"/>
      <color theme="1"/>
      <sz val="11"/>
      <scheme val="minor"/>
    </font>
    <font>
      <name val="Arial"/>
      <b val="1"/>
      <color rgb="0057068C"/>
      <sz val="18"/>
    </font>
    <font>
      <name val="Arial"/>
      <i val="1"/>
      <color rgb="00330050"/>
      <sz val="12"/>
    </font>
    <font>
      <name val="Arial"/>
      <color rgb="00666666"/>
      <sz val="10"/>
    </font>
    <font>
      <name val="Arial"/>
      <b val="1"/>
      <sz val="12"/>
    </font>
    <font>
      <name val="Arial"/>
      <b val="1"/>
      <color rgb="00FFFFFF"/>
      <sz val="14"/>
    </font>
    <font>
      <name val="Arial"/>
      <color rgb="000000FF"/>
    </font>
    <font>
      <name val="Arial"/>
      <color rgb="00000000"/>
    </font>
    <font>
      <name val="Arial"/>
      <b val="1"/>
      <color rgb="0057068C"/>
      <sz val="12"/>
    </font>
    <font>
      <name val="Arial"/>
      <b val="1"/>
      <color rgb="0057068C"/>
    </font>
    <font>
      <name val="Arial"/>
      <color rgb="00333333"/>
    </font>
    <font>
      <name val="Arial"/>
      <b val="1"/>
      <color rgb="00330050"/>
    </font>
    <font>
      <name val="Arial"/>
      <color rgb="00008000"/>
    </font>
    <font>
      <name val="Arial"/>
      <b val="1"/>
      <color rgb="0057068C"/>
      <sz val="14"/>
    </font>
    <font>
      <name val="Arial"/>
      <b val="1"/>
      <color rgb="00FFFFFF"/>
      <sz val="11"/>
    </font>
    <font>
      <name val="Arial"/>
      <b val="1"/>
    </font>
    <font>
      <name val="Arial"/>
      <b val="1"/>
      <color rgb="00330050"/>
      <sz val="12"/>
    </font>
    <font>
      <name val="Arial"/>
      <b val="1"/>
      <color rgb="0057068C"/>
      <sz val="11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0000FF"/>
    </font>
    <font>
      <name val="Arial"/>
      <b val="1"/>
      <i val="1"/>
    </font>
    <font>
      <name val="Arial"/>
      <i val="1"/>
      <color rgb="00333333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99700"/>
      </patternFill>
    </fill>
    <fill>
      <patternFill patternType="solid">
        <fgColor rgb="00FFFF00"/>
      </patternFill>
    </fill>
    <fill>
      <patternFill patternType="solid">
        <fgColor rgb="0057068C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4" fontId="6" fillId="0" borderId="0" pivotButton="0" quotePrefix="0" xfId="0"/>
    <xf numFmtId="165" fontId="7" fillId="0" borderId="0" pivotButton="0" quotePrefix="0" xfId="0"/>
    <xf numFmtId="3" fontId="6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0" fillId="3" borderId="0" pivotButton="0" quotePrefix="0" xfId="0"/>
    <xf numFmtId="0" fontId="13" fillId="0" borderId="0" pivotButton="0" quotePrefix="0" xfId="0"/>
    <xf numFmtId="0" fontId="14" fillId="4" borderId="0" applyAlignment="1" pivotButton="0" quotePrefix="0" xfId="0">
      <alignment horizontal="center" vertical="center"/>
    </xf>
    <xf numFmtId="3" fontId="6" fillId="3" borderId="0" pivotButton="0" quotePrefix="0" xfId="0"/>
    <xf numFmtId="0" fontId="15" fillId="0" borderId="0" pivotButton="0" quotePrefix="0" xfId="0"/>
    <xf numFmtId="3" fontId="15" fillId="0" borderId="0" pivotButton="0" quotePrefix="0" xfId="0"/>
    <xf numFmtId="0" fontId="16" fillId="0" borderId="0" pivotButton="0" quotePrefix="0" xfId="0"/>
    <xf numFmtId="165" fontId="6" fillId="0" borderId="0" pivotButton="0" quotePrefix="0" xfId="0"/>
    <xf numFmtId="165" fontId="6" fillId="3" borderId="0" pivotButton="0" quotePrefix="0" xfId="0"/>
    <xf numFmtId="3" fontId="12" fillId="0" borderId="0" pivotButton="0" quotePrefix="0" xfId="0"/>
    <xf numFmtId="3" fontId="15" fillId="5" borderId="0" pivotButton="0" quotePrefix="0" xfId="0"/>
    <xf numFmtId="165" fontId="12" fillId="0" borderId="0" pivotButton="0" quotePrefix="0" xfId="0"/>
    <xf numFmtId="3" fontId="7" fillId="0" borderId="0" pivotButton="0" quotePrefix="0" xfId="0"/>
    <xf numFmtId="0" fontId="17" fillId="0" borderId="0" pivotButton="0" quotePrefix="0" xfId="0"/>
    <xf numFmtId="1" fontId="6" fillId="0" borderId="0" pivotButton="0" quotePrefix="0" xfId="0"/>
    <xf numFmtId="166" fontId="6" fillId="0" borderId="0" pivotButton="0" quotePrefix="0" xfId="0"/>
    <xf numFmtId="10" fontId="12" fillId="3" borderId="0" pivotButton="0" quotePrefix="0" xfId="0"/>
    <xf numFmtId="10" fontId="7" fillId="0" borderId="0" pivotButton="0" quotePrefix="0" xfId="0"/>
    <xf numFmtId="167" fontId="7" fillId="0" borderId="0" pivotButton="0" quotePrefix="0" xfId="0"/>
    <xf numFmtId="10" fontId="6" fillId="3" borderId="0" pivotButton="0" quotePrefix="0" xfId="0"/>
    <xf numFmtId="164" fontId="18" fillId="4" borderId="0" pivotButton="0" quotePrefix="0" xfId="0"/>
    <xf numFmtId="0" fontId="19" fillId="0" borderId="0" pivotButton="0" quotePrefix="0" xfId="0"/>
    <xf numFmtId="2" fontId="6" fillId="3" borderId="0" pivotButton="0" quotePrefix="0" xfId="0"/>
    <xf numFmtId="10" fontId="15" fillId="0" borderId="0" pivotButton="0" quotePrefix="0" xfId="0"/>
    <xf numFmtId="10" fontId="18" fillId="4" borderId="0" pivotButton="0" quotePrefix="0" xfId="0"/>
    <xf numFmtId="168" fontId="7" fillId="0" borderId="0" pivotButton="0" quotePrefix="0" xfId="0"/>
    <xf numFmtId="0" fontId="20" fillId="5" borderId="0" pivotButton="0" quotePrefix="0" xfId="0"/>
    <xf numFmtId="164" fontId="20" fillId="5" borderId="0" pivotButton="0" quotePrefix="0" xfId="0"/>
    <xf numFmtId="168" fontId="20" fillId="5" borderId="0" pivotButton="0" quotePrefix="0" xfId="0"/>
    <xf numFmtId="169" fontId="20" fillId="5" borderId="0" pivotButton="0" quotePrefix="0" xfId="0"/>
    <xf numFmtId="165" fontId="20" fillId="5" borderId="0" pivotButton="0" quotePrefix="0" xfId="0"/>
    <xf numFmtId="2" fontId="20" fillId="5" borderId="0" pivotButton="0" quotePrefix="0" xfId="0"/>
    <xf numFmtId="168" fontId="6" fillId="0" borderId="0" pivotButton="0" quotePrefix="0" xfId="0"/>
    <xf numFmtId="169" fontId="6" fillId="0" borderId="0" pivotButton="0" quotePrefix="0" xfId="0"/>
    <xf numFmtId="2" fontId="6" fillId="0" borderId="0" pivotButton="0" quotePrefix="0" xfId="0"/>
    <xf numFmtId="0" fontId="21" fillId="0" borderId="0" pivotButton="0" quotePrefix="0" xfId="0"/>
    <xf numFmtId="164" fontId="7" fillId="0" borderId="0" pivotButton="0" quotePrefix="0" xfId="0"/>
    <xf numFmtId="169" fontId="7" fillId="0" borderId="0" pivotButton="0" quotePrefix="0" xfId="0"/>
    <xf numFmtId="2" fontId="7" fillId="0" borderId="0" pivotButton="0" quotePrefix="0" xfId="0"/>
    <xf numFmtId="170" fontId="6" fillId="3" borderId="0" pivotButton="0" quotePrefix="0" xfId="0"/>
    <xf numFmtId="169" fontId="6" fillId="3" borderId="0" pivotButton="0" quotePrefix="0" xfId="0"/>
    <xf numFmtId="168" fontId="18" fillId="4" borderId="0" pivotButton="0" quotePrefix="0" xfId="0"/>
    <xf numFmtId="0" fontId="22" fillId="0" borderId="0" pivotButton="0" quotePrefix="0" xfId="0"/>
    <xf numFmtId="168" fontId="15" fillId="5" borderId="0" pivotButton="0" quotePrefix="0" xfId="0"/>
    <xf numFmtId="0" fontId="2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Author</author>
  </authors>
  <commentList>
    <comment ref="D5" authorId="0" shapeId="0">
      <text>
        <t>Derived from FY25A blended 67.7% EBITDA margin and revenue mix. Software at 77% (peer benchmarks), implying semi at 62.0%.</t>
      </text>
    </comment>
    <comment ref="D6" authorId="0" shapeId="0">
      <text>
        <t>Derived from FY25A blended 67.7% EBITDA margin and revenue mix. Software at 77% (peer benchmarks), implying semi at 62.0%.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WASHINGTON SQUARE RESEARCH PARTNERS</t>
        </is>
      </c>
    </row>
    <row r="3">
      <c r="B3" s="2" t="inlineStr">
        <is>
          <t>NYU MSFE Equity Research | Equity Research Report — AVGO</t>
        </is>
      </c>
    </row>
    <row r="4">
      <c r="B4" s="3" t="inlineStr">
        <is>
          <t>Authors: Tanishk Yadav | Martin Baretto | Ramana Sriram</t>
        </is>
      </c>
    </row>
    <row r="5">
      <c r="B5" s="3" t="inlineStr">
        <is>
          <t>Report date: 25 April 2026</t>
        </is>
      </c>
    </row>
    <row r="7">
      <c r="B7" s="4" t="inlineStr">
        <is>
          <t>Recommendation</t>
        </is>
      </c>
      <c r="C7" s="5" t="inlineStr">
        <is>
          <t>BUY</t>
        </is>
      </c>
    </row>
    <row r="8">
      <c r="B8" t="inlineStr">
        <is>
          <t>Spot price (USD)</t>
        </is>
      </c>
      <c r="C8" s="6" t="n">
        <v>399.83</v>
      </c>
    </row>
    <row r="9">
      <c r="B9" t="inlineStr">
        <is>
          <t>12-month price target (USD)</t>
        </is>
      </c>
      <c r="C9" s="6" t="n">
        <v>475</v>
      </c>
    </row>
    <row r="10">
      <c r="B10" t="inlineStr">
        <is>
          <t>Implied upside</t>
        </is>
      </c>
      <c r="C10" s="7">
        <f>C9/C8-1</f>
        <v/>
      </c>
    </row>
    <row r="11">
      <c r="B11" t="inlineStr">
        <is>
          <t>Market cap ($mn)</t>
        </is>
      </c>
      <c r="C11" s="8" t="n">
        <v>2001630</v>
      </c>
    </row>
    <row r="12">
      <c r="B12" t="inlineStr">
        <is>
          <t>Diluted shares (mn)</t>
        </is>
      </c>
      <c r="C12" s="8" t="n">
        <v>4969</v>
      </c>
    </row>
    <row r="13">
      <c r="B13" t="inlineStr">
        <is>
          <t>52-week range</t>
        </is>
      </c>
      <c r="C13" s="9" t="inlineStr">
        <is>
          <t>$138.10 – $422.76</t>
        </is>
      </c>
    </row>
    <row r="15">
      <c r="B15" s="10" t="inlineStr">
        <is>
          <t>Workbook Contents</t>
        </is>
      </c>
    </row>
    <row r="16">
      <c r="B16" s="11" t="inlineStr">
        <is>
          <t>1. Cover</t>
        </is>
      </c>
      <c r="C16" s="12" t="inlineStr">
        <is>
          <t>This page</t>
        </is>
      </c>
    </row>
    <row r="17">
      <c r="B17" s="11" t="inlineStr">
        <is>
          <t>2. Assumptions</t>
        </is>
      </c>
      <c r="C17" s="12" t="inlineStr">
        <is>
          <t>Key drivers, growth rates, margins</t>
        </is>
      </c>
    </row>
    <row r="18">
      <c r="B18" s="11" t="inlineStr">
        <is>
          <t>3. Income Statement</t>
        </is>
      </c>
      <c r="C18" s="12" t="inlineStr">
        <is>
          <t>FY23A – FY30E with formulas</t>
        </is>
      </c>
    </row>
    <row r="19">
      <c r="B19" s="11" t="inlineStr">
        <is>
          <t>4. DCF</t>
        </is>
      </c>
      <c r="C19" s="12" t="inlineStr">
        <is>
          <t>FCFF + Gordon terminal value</t>
        </is>
      </c>
    </row>
    <row r="20">
      <c r="B20" s="11" t="inlineStr">
        <is>
          <t>5. WACC</t>
        </is>
      </c>
      <c r="C20" s="12" t="inlineStr">
        <is>
          <t>Cost of capital build</t>
        </is>
      </c>
    </row>
    <row r="21">
      <c r="B21" s="11" t="inlineStr">
        <is>
          <t>6. Sensitivity</t>
        </is>
      </c>
      <c r="C21" s="12" t="inlineStr">
        <is>
          <t>WACC × terminal-g grid</t>
        </is>
      </c>
    </row>
    <row r="22">
      <c r="B22" s="11" t="inlineStr">
        <is>
          <t>7. Comps</t>
        </is>
      </c>
      <c r="C22" s="12" t="inlineStr">
        <is>
          <t>Peer trading multiples</t>
        </is>
      </c>
    </row>
    <row r="23">
      <c r="B23" s="11" t="inlineStr">
        <is>
          <t>8. SOTP</t>
        </is>
      </c>
      <c r="C23" s="12" t="inlineStr">
        <is>
          <t>Sum-of-the-parts by segment</t>
        </is>
      </c>
    </row>
    <row r="24">
      <c r="B24" s="11" t="inlineStr">
        <is>
          <t>9. Monte Carlo</t>
        </is>
      </c>
      <c r="C24" s="12" t="inlineStr">
        <is>
          <t>Stochastic distribution summary</t>
        </is>
      </c>
    </row>
    <row r="25">
      <c r="B25" s="11" t="inlineStr">
        <is>
          <t>10. Football Field</t>
        </is>
      </c>
      <c r="C25" s="12" t="inlineStr">
        <is>
          <t>Synthesis of valuation methods</t>
        </is>
      </c>
    </row>
    <row r="28">
      <c r="B28" s="13" t="inlineStr">
        <is>
          <t>Color coding (industry standard)</t>
        </is>
      </c>
    </row>
    <row r="29">
      <c r="B29" s="14" t="inlineStr">
        <is>
          <t xml:space="preserve">  Blue text</t>
        </is>
      </c>
      <c r="C29" t="inlineStr">
        <is>
          <t>Hardcoded inputs</t>
        </is>
      </c>
    </row>
    <row r="30">
      <c r="B30" s="15" t="inlineStr">
        <is>
          <t xml:space="preserve">  Black text</t>
        </is>
      </c>
      <c r="C30" t="inlineStr">
        <is>
          <t>Formulas / calculations</t>
        </is>
      </c>
    </row>
    <row r="31">
      <c r="B31" s="16" t="inlineStr">
        <is>
          <t xml:space="preserve">  Green text</t>
        </is>
      </c>
      <c r="C31" t="inlineStr">
        <is>
          <t>Cross-sheet links</t>
        </is>
      </c>
    </row>
    <row r="32">
      <c r="B32" s="17" t="inlineStr">
        <is>
          <t xml:space="preserve">  Yellow fill</t>
        </is>
      </c>
      <c r="C32" t="inlineStr">
        <is>
          <t>Key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18" t="inlineStr">
        <is>
          <t>OPERATING ASSUMPTIONS</t>
        </is>
      </c>
    </row>
    <row r="4">
      <c r="C4" s="19" t="inlineStr">
        <is>
          <t>FY23A</t>
        </is>
      </c>
      <c r="D4" s="19" t="inlineStr">
        <is>
          <t>FY24A</t>
        </is>
      </c>
      <c r="E4" s="19" t="inlineStr">
        <is>
          <t>FY25A</t>
        </is>
      </c>
      <c r="F4" s="19" t="inlineStr">
        <is>
          <t>FY26E</t>
        </is>
      </c>
      <c r="G4" s="19" t="inlineStr">
        <is>
          <t>FY27E</t>
        </is>
      </c>
      <c r="H4" s="19" t="inlineStr">
        <is>
          <t>FY28E</t>
        </is>
      </c>
      <c r="I4" s="19" t="inlineStr">
        <is>
          <t>FY29E</t>
        </is>
      </c>
      <c r="J4" s="19" t="inlineStr">
        <is>
          <t>FY30E</t>
        </is>
      </c>
    </row>
    <row r="5">
      <c r="B5" s="13" t="inlineStr">
        <is>
          <t>Revenue ($mn)</t>
        </is>
      </c>
    </row>
    <row r="6">
      <c r="B6" t="inlineStr">
        <is>
          <t xml:space="preserve">  AI Semiconductor</t>
        </is>
      </c>
      <c r="C6" s="8" t="n">
        <v>4000</v>
      </c>
      <c r="D6" s="8" t="n">
        <v>12200</v>
      </c>
      <c r="E6" s="8" t="n">
        <v>24500</v>
      </c>
      <c r="F6" s="20" t="n">
        <v>60000</v>
      </c>
      <c r="G6" s="20" t="n">
        <v>115000</v>
      </c>
      <c r="H6" s="20" t="n">
        <v>165000</v>
      </c>
      <c r="I6" s="20" t="n">
        <v>205000</v>
      </c>
      <c r="J6" s="20" t="n">
        <v>235000</v>
      </c>
    </row>
    <row r="7">
      <c r="B7" t="inlineStr">
        <is>
          <t xml:space="preserve">  Non-AI Semiconductor</t>
        </is>
      </c>
      <c r="C7" s="8" t="n">
        <v>21800</v>
      </c>
      <c r="D7" s="8" t="n">
        <v>18500</v>
      </c>
      <c r="E7" s="8" t="n">
        <v>15500</v>
      </c>
      <c r="F7" s="20" t="n">
        <v>16500</v>
      </c>
      <c r="G7" s="20" t="n">
        <v>17000</v>
      </c>
      <c r="H7" s="20" t="n">
        <v>17750</v>
      </c>
      <c r="I7" s="20" t="n">
        <v>18500</v>
      </c>
      <c r="J7" s="20" t="n">
        <v>19250</v>
      </c>
    </row>
    <row r="8">
      <c r="B8" t="inlineStr">
        <is>
          <t xml:space="preserve">  Infrastructure Software</t>
        </is>
      </c>
      <c r="C8" s="8" t="n">
        <v>10000</v>
      </c>
      <c r="D8" s="8" t="n">
        <v>20800</v>
      </c>
      <c r="E8" s="8" t="n">
        <v>23900</v>
      </c>
      <c r="F8" s="20" t="n">
        <v>28500</v>
      </c>
      <c r="G8" s="20" t="n">
        <v>31000</v>
      </c>
      <c r="H8" s="20" t="n">
        <v>33500</v>
      </c>
      <c r="I8" s="20" t="n">
        <v>35500</v>
      </c>
      <c r="J8" s="20" t="n">
        <v>37500</v>
      </c>
    </row>
    <row r="9">
      <c r="B9" s="21" t="inlineStr">
        <is>
          <t>Total Revenue (formula)</t>
        </is>
      </c>
      <c r="C9" s="22">
        <f>SUM(C6:C8)</f>
        <v/>
      </c>
      <c r="D9" s="22">
        <f>SUM(D6:D8)</f>
        <v/>
      </c>
      <c r="E9" s="22">
        <f>SUM(E6:E8)</f>
        <v/>
      </c>
      <c r="F9" s="22">
        <f>SUM(F6:F8)</f>
        <v/>
      </c>
      <c r="G9" s="22">
        <f>SUM(G6:G8)</f>
        <v/>
      </c>
      <c r="H9" s="22">
        <f>SUM(H6:H8)</f>
        <v/>
      </c>
      <c r="I9" s="22">
        <f>SUM(I6:I8)</f>
        <v/>
      </c>
      <c r="J9" s="22">
        <f>SUM(J6:J8)</f>
        <v/>
      </c>
    </row>
    <row r="10">
      <c r="B10" t="inlineStr">
        <is>
          <t>Revenue growth YoY</t>
        </is>
      </c>
      <c r="D10" s="7">
        <f>D9/C9-1</f>
        <v/>
      </c>
      <c r="E10" s="7">
        <f>E9/D9-1</f>
        <v/>
      </c>
      <c r="F10" s="7">
        <f>F9/E9-1</f>
        <v/>
      </c>
      <c r="G10" s="7">
        <f>G9/F9-1</f>
        <v/>
      </c>
      <c r="H10" s="7">
        <f>H9/G9-1</f>
        <v/>
      </c>
      <c r="I10" s="7">
        <f>I9/H9-1</f>
        <v/>
      </c>
      <c r="J10" s="7">
        <f>J9/I9-1</f>
        <v/>
      </c>
    </row>
    <row r="12">
      <c r="B12" s="23" t="inlineStr">
        <is>
          <t>MARGIN &amp; CAPITAL ASSUMPTIONS</t>
        </is>
      </c>
    </row>
    <row r="13">
      <c r="B13" t="inlineStr">
        <is>
          <t>Gross margin</t>
        </is>
      </c>
      <c r="C13" s="24" t="n">
        <v>0.696</v>
      </c>
      <c r="D13" s="24" t="n">
        <v>0.626</v>
      </c>
      <c r="E13" s="24" t="n">
        <v>0.745</v>
      </c>
      <c r="F13" s="25" t="n">
        <v>0.77</v>
      </c>
      <c r="G13" s="25" t="n">
        <v>0.775</v>
      </c>
      <c r="H13" s="25" t="n">
        <v>0.78</v>
      </c>
      <c r="I13" s="25" t="n">
        <v>0.78</v>
      </c>
      <c r="J13" s="25" t="n">
        <v>0.78</v>
      </c>
    </row>
    <row r="14">
      <c r="B14" t="inlineStr">
        <is>
          <t>Opex % of revenue</t>
        </is>
      </c>
      <c r="C14" s="24" t="n">
        <v>0.08500000000000001</v>
      </c>
      <c r="D14" s="24" t="n">
        <v>0.09</v>
      </c>
      <c r="E14" s="24" t="n">
        <v>0.08500000000000001</v>
      </c>
      <c r="F14" s="24" t="n">
        <v>0.08500000000000001</v>
      </c>
      <c r="G14" s="24" t="n">
        <v>0.075</v>
      </c>
      <c r="H14" s="24" t="n">
        <v>0.07199999999999999</v>
      </c>
      <c r="I14" s="24" t="n">
        <v>0.07000000000000001</v>
      </c>
      <c r="J14" s="24" t="n">
        <v>0.06900000000000001</v>
      </c>
    </row>
    <row r="15">
      <c r="B15" t="inlineStr">
        <is>
          <t>D&amp;A % of revenue</t>
        </is>
      </c>
      <c r="C15" s="24" t="n">
        <v>0.03</v>
      </c>
      <c r="D15" s="24" t="n">
        <v>0.025</v>
      </c>
      <c r="E15" s="24" t="n">
        <v>0.02</v>
      </c>
      <c r="F15" s="24" t="n">
        <v>0.012</v>
      </c>
      <c r="G15" s="24" t="n">
        <v>0.01</v>
      </c>
      <c r="H15" s="24" t="n">
        <v>0.008999999999999999</v>
      </c>
      <c r="I15" s="24" t="n">
        <v>0.008999999999999999</v>
      </c>
      <c r="J15" s="24" t="n">
        <v>0.008</v>
      </c>
    </row>
    <row r="16">
      <c r="B16" t="inlineStr">
        <is>
          <t>Capex % of revenue</t>
        </is>
      </c>
      <c r="C16" s="24" t="n">
        <v>0.018</v>
      </c>
      <c r="D16" s="24" t="n">
        <v>0.02</v>
      </c>
      <c r="E16" s="24" t="n">
        <v>0.012</v>
      </c>
      <c r="F16" s="24" t="n">
        <v>0.012</v>
      </c>
      <c r="G16" s="24" t="n">
        <v>0.01</v>
      </c>
      <c r="H16" s="24" t="n">
        <v>0.01</v>
      </c>
      <c r="I16" s="24" t="n">
        <v>0.01</v>
      </c>
      <c r="J16" s="24" t="n">
        <v>0.01</v>
      </c>
    </row>
    <row r="17">
      <c r="B17" t="inlineStr">
        <is>
          <t>NWC change % of revenue</t>
        </is>
      </c>
      <c r="C17" s="24" t="n">
        <v>0.008</v>
      </c>
      <c r="D17" s="24" t="n">
        <v>0.01</v>
      </c>
      <c r="E17" s="24" t="n">
        <v>0.008999999999999999</v>
      </c>
      <c r="F17" s="24" t="n">
        <v>0.01</v>
      </c>
      <c r="G17" s="24" t="n">
        <v>0.012</v>
      </c>
      <c r="H17" s="24" t="n">
        <v>0.01</v>
      </c>
      <c r="I17" s="24" t="n">
        <v>0.008</v>
      </c>
      <c r="J17" s="24" t="n">
        <v>0.008</v>
      </c>
    </row>
    <row r="18">
      <c r="B18" t="inlineStr">
        <is>
          <t>Effective tax rate</t>
        </is>
      </c>
      <c r="C18" s="24" t="n">
        <v>0.18</v>
      </c>
      <c r="D18" s="24" t="n">
        <v>0.18</v>
      </c>
      <c r="E18" s="24" t="n">
        <v>0.17</v>
      </c>
      <c r="F18" s="24" t="n">
        <v>0.18</v>
      </c>
      <c r="G18" s="24" t="n">
        <v>0.18</v>
      </c>
      <c r="H18" s="24" t="n">
        <v>0.18</v>
      </c>
      <c r="I18" s="24" t="n">
        <v>0.18</v>
      </c>
      <c r="J18" s="24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18" t="inlineStr">
        <is>
          <t>INCOME STATEMENT — FY23A – FY30E ($ in millions)</t>
        </is>
      </c>
    </row>
    <row r="4">
      <c r="C4" s="19" t="inlineStr">
        <is>
          <t>FY23A</t>
        </is>
      </c>
      <c r="D4" s="19" t="inlineStr">
        <is>
          <t>FY24A</t>
        </is>
      </c>
      <c r="E4" s="19" t="inlineStr">
        <is>
          <t>FY25A</t>
        </is>
      </c>
      <c r="F4" s="19" t="inlineStr">
        <is>
          <t>FY26E</t>
        </is>
      </c>
      <c r="G4" s="19" t="inlineStr">
        <is>
          <t>FY27E</t>
        </is>
      </c>
      <c r="H4" s="19" t="inlineStr">
        <is>
          <t>FY28E</t>
        </is>
      </c>
      <c r="I4" s="19" t="inlineStr">
        <is>
          <t>FY29E</t>
        </is>
      </c>
      <c r="J4" s="19" t="inlineStr">
        <is>
          <t>FY30E</t>
        </is>
      </c>
    </row>
    <row r="6">
      <c r="B6" t="inlineStr">
        <is>
          <t>AI Semiconductor revenue</t>
        </is>
      </c>
      <c r="C6" s="26">
        <f>'2. Assumptions'!C6</f>
        <v/>
      </c>
      <c r="D6" s="26">
        <f>'2. Assumptions'!D6</f>
        <v/>
      </c>
      <c r="E6" s="26">
        <f>'2. Assumptions'!E6</f>
        <v/>
      </c>
      <c r="F6" s="26">
        <f>'2. Assumptions'!F6</f>
        <v/>
      </c>
      <c r="G6" s="26">
        <f>'2. Assumptions'!G6</f>
        <v/>
      </c>
      <c r="H6" s="26">
        <f>'2. Assumptions'!H6</f>
        <v/>
      </c>
      <c r="I6" s="26">
        <f>'2. Assumptions'!I6</f>
        <v/>
      </c>
      <c r="J6" s="26">
        <f>'2. Assumptions'!J6</f>
        <v/>
      </c>
    </row>
    <row r="7">
      <c r="B7" t="inlineStr">
        <is>
          <t>Non-AI Semi revenue</t>
        </is>
      </c>
      <c r="C7" s="26">
        <f>'2. Assumptions'!C7</f>
        <v/>
      </c>
      <c r="D7" s="26">
        <f>'2. Assumptions'!D7</f>
        <v/>
      </c>
      <c r="E7" s="26">
        <f>'2. Assumptions'!E7</f>
        <v/>
      </c>
      <c r="F7" s="26">
        <f>'2. Assumptions'!F7</f>
        <v/>
      </c>
      <c r="G7" s="26">
        <f>'2. Assumptions'!G7</f>
        <v/>
      </c>
      <c r="H7" s="26">
        <f>'2. Assumptions'!H7</f>
        <v/>
      </c>
      <c r="I7" s="26">
        <f>'2. Assumptions'!I7</f>
        <v/>
      </c>
      <c r="J7" s="26">
        <f>'2. Assumptions'!J7</f>
        <v/>
      </c>
    </row>
    <row r="8">
      <c r="B8" t="inlineStr">
        <is>
          <t>Infrastructure Software revenue</t>
        </is>
      </c>
      <c r="C8" s="26">
        <f>'2. Assumptions'!C8</f>
        <v/>
      </c>
      <c r="D8" s="26">
        <f>'2. Assumptions'!D8</f>
        <v/>
      </c>
      <c r="E8" s="26">
        <f>'2. Assumptions'!E8</f>
        <v/>
      </c>
      <c r="F8" s="26">
        <f>'2. Assumptions'!F8</f>
        <v/>
      </c>
      <c r="G8" s="26">
        <f>'2. Assumptions'!G8</f>
        <v/>
      </c>
      <c r="H8" s="26">
        <f>'2. Assumptions'!H8</f>
        <v/>
      </c>
      <c r="I8" s="26">
        <f>'2. Assumptions'!I8</f>
        <v/>
      </c>
      <c r="J8" s="26">
        <f>'2. Assumptions'!J8</f>
        <v/>
      </c>
    </row>
    <row r="9">
      <c r="B9" s="21" t="inlineStr">
        <is>
          <t>Total Revenue</t>
        </is>
      </c>
      <c r="C9" s="27">
        <f>SUM(C6:C8)</f>
        <v/>
      </c>
      <c r="D9" s="27">
        <f>SUM(D6:D8)</f>
        <v/>
      </c>
      <c r="E9" s="27">
        <f>SUM(E6:E8)</f>
        <v/>
      </c>
      <c r="F9" s="27">
        <f>SUM(F6:F8)</f>
        <v/>
      </c>
      <c r="G9" s="27">
        <f>SUM(G6:G8)</f>
        <v/>
      </c>
      <c r="H9" s="27">
        <f>SUM(H6:H8)</f>
        <v/>
      </c>
      <c r="I9" s="27">
        <f>SUM(I6:I8)</f>
        <v/>
      </c>
      <c r="J9" s="27">
        <f>SUM(J6:J8)</f>
        <v/>
      </c>
    </row>
    <row r="10">
      <c r="B10" t="inlineStr">
        <is>
          <t>Revenue growth YoY</t>
        </is>
      </c>
      <c r="D10" s="7">
        <f>D9/C9-1</f>
        <v/>
      </c>
      <c r="E10" s="7">
        <f>E9/D9-1</f>
        <v/>
      </c>
      <c r="F10" s="7">
        <f>F9/E9-1</f>
        <v/>
      </c>
      <c r="G10" s="7">
        <f>G9/F9-1</f>
        <v/>
      </c>
      <c r="H10" s="7">
        <f>H9/G9-1</f>
        <v/>
      </c>
      <c r="I10" s="7">
        <f>I9/H9-1</f>
        <v/>
      </c>
      <c r="J10" s="7">
        <f>J9/I9-1</f>
        <v/>
      </c>
    </row>
    <row r="12">
      <c r="B12" t="inlineStr">
        <is>
          <t>Gross margin %</t>
        </is>
      </c>
      <c r="C12" s="28">
        <f>'2. Assumptions'!C13</f>
        <v/>
      </c>
      <c r="D12" s="28">
        <f>'2. Assumptions'!D13</f>
        <v/>
      </c>
      <c r="E12" s="28">
        <f>'2. Assumptions'!E13</f>
        <v/>
      </c>
      <c r="F12" s="28">
        <f>'2. Assumptions'!F13</f>
        <v/>
      </c>
      <c r="G12" s="28">
        <f>'2. Assumptions'!G13</f>
        <v/>
      </c>
      <c r="H12" s="28">
        <f>'2. Assumptions'!H13</f>
        <v/>
      </c>
      <c r="I12" s="28">
        <f>'2. Assumptions'!I13</f>
        <v/>
      </c>
      <c r="J12" s="28">
        <f>'2. Assumptions'!J13</f>
        <v/>
      </c>
    </row>
    <row r="13">
      <c r="B13" t="inlineStr">
        <is>
          <t>Gross profit</t>
        </is>
      </c>
      <c r="C13" s="29">
        <f>C9*C12</f>
        <v/>
      </c>
      <c r="D13" s="29">
        <f>D9*D12</f>
        <v/>
      </c>
      <c r="E13" s="29">
        <f>E9*E12</f>
        <v/>
      </c>
      <c r="F13" s="29">
        <f>F9*F12</f>
        <v/>
      </c>
      <c r="G13" s="29">
        <f>G9*G12</f>
        <v/>
      </c>
      <c r="H13" s="29">
        <f>H9*H12</f>
        <v/>
      </c>
      <c r="I13" s="29">
        <f>I9*I12</f>
        <v/>
      </c>
      <c r="J13" s="29">
        <f>J9*J12</f>
        <v/>
      </c>
    </row>
    <row r="14">
      <c r="B14" t="inlineStr">
        <is>
          <t>Opex % of revenue</t>
        </is>
      </c>
      <c r="C14" s="28">
        <f>'2. Assumptions'!C14</f>
        <v/>
      </c>
      <c r="D14" s="28">
        <f>'2. Assumptions'!D14</f>
        <v/>
      </c>
      <c r="E14" s="28">
        <f>'2. Assumptions'!E14</f>
        <v/>
      </c>
      <c r="F14" s="28">
        <f>'2. Assumptions'!F14</f>
        <v/>
      </c>
      <c r="G14" s="28">
        <f>'2. Assumptions'!G14</f>
        <v/>
      </c>
      <c r="H14" s="28">
        <f>'2. Assumptions'!H14</f>
        <v/>
      </c>
      <c r="I14" s="28">
        <f>'2. Assumptions'!I14</f>
        <v/>
      </c>
      <c r="J14" s="28">
        <f>'2. Assumptions'!J14</f>
        <v/>
      </c>
    </row>
    <row r="15">
      <c r="B15" t="inlineStr">
        <is>
          <t>Opex</t>
        </is>
      </c>
      <c r="C15" s="29">
        <f>C9*C14</f>
        <v/>
      </c>
      <c r="D15" s="29">
        <f>D9*D14</f>
        <v/>
      </c>
      <c r="E15" s="29">
        <f>E9*E14</f>
        <v/>
      </c>
      <c r="F15" s="29">
        <f>F9*F14</f>
        <v/>
      </c>
      <c r="G15" s="29">
        <f>G9*G14</f>
        <v/>
      </c>
      <c r="H15" s="29">
        <f>H9*H14</f>
        <v/>
      </c>
      <c r="I15" s="29">
        <f>I9*I14</f>
        <v/>
      </c>
      <c r="J15" s="29">
        <f>J9*J14</f>
        <v/>
      </c>
    </row>
    <row r="16">
      <c r="B16" s="21" t="inlineStr">
        <is>
          <t>EBIT</t>
        </is>
      </c>
      <c r="C16" s="22">
        <f>C13-C15</f>
        <v/>
      </c>
      <c r="D16" s="22">
        <f>D13-D15</f>
        <v/>
      </c>
      <c r="E16" s="22">
        <f>E13-E15</f>
        <v/>
      </c>
      <c r="F16" s="22">
        <f>F13-F15</f>
        <v/>
      </c>
      <c r="G16" s="22">
        <f>G13-G15</f>
        <v/>
      </c>
      <c r="H16" s="22">
        <f>H13-H15</f>
        <v/>
      </c>
      <c r="I16" s="22">
        <f>I13-I15</f>
        <v/>
      </c>
      <c r="J16" s="22">
        <f>J13-J15</f>
        <v/>
      </c>
    </row>
    <row r="17">
      <c r="B17" t="inlineStr">
        <is>
          <t>EBIT margin %</t>
        </is>
      </c>
      <c r="C17" s="7">
        <f>C16/C9</f>
        <v/>
      </c>
      <c r="D17" s="7">
        <f>D16/D9</f>
        <v/>
      </c>
      <c r="E17" s="7">
        <f>E16/E9</f>
        <v/>
      </c>
      <c r="F17" s="7">
        <f>F16/F9</f>
        <v/>
      </c>
      <c r="G17" s="7">
        <f>G16/G9</f>
        <v/>
      </c>
      <c r="H17" s="7">
        <f>H16/H9</f>
        <v/>
      </c>
      <c r="I17" s="7">
        <f>I16/I9</f>
        <v/>
      </c>
      <c r="J17" s="7">
        <f>J16/J9</f>
        <v/>
      </c>
    </row>
    <row r="19">
      <c r="B19" t="inlineStr">
        <is>
          <t>D&amp;A % of revenue</t>
        </is>
      </c>
      <c r="C19" s="28">
        <f>'2. Assumptions'!C15</f>
        <v/>
      </c>
      <c r="D19" s="28">
        <f>'2. Assumptions'!D15</f>
        <v/>
      </c>
      <c r="E19" s="28">
        <f>'2. Assumptions'!E15</f>
        <v/>
      </c>
      <c r="F19" s="28">
        <f>'2. Assumptions'!F15</f>
        <v/>
      </c>
      <c r="G19" s="28">
        <f>'2. Assumptions'!G15</f>
        <v/>
      </c>
      <c r="H19" s="28">
        <f>'2. Assumptions'!H15</f>
        <v/>
      </c>
      <c r="I19" s="28">
        <f>'2. Assumptions'!I15</f>
        <v/>
      </c>
      <c r="J19" s="28">
        <f>'2. Assumptions'!J15</f>
        <v/>
      </c>
    </row>
    <row r="20">
      <c r="B20" t="inlineStr">
        <is>
          <t>D&amp;A</t>
        </is>
      </c>
      <c r="C20" s="29">
        <f>C9*C19</f>
        <v/>
      </c>
      <c r="D20" s="29">
        <f>D9*D19</f>
        <v/>
      </c>
      <c r="E20" s="29">
        <f>E9*E19</f>
        <v/>
      </c>
      <c r="F20" s="29">
        <f>F9*F19</f>
        <v/>
      </c>
      <c r="G20" s="29">
        <f>G9*G19</f>
        <v/>
      </c>
      <c r="H20" s="29">
        <f>H9*H19</f>
        <v/>
      </c>
      <c r="I20" s="29">
        <f>I9*I19</f>
        <v/>
      </c>
      <c r="J20" s="29">
        <f>J9*J19</f>
        <v/>
      </c>
    </row>
    <row r="21">
      <c r="B21" s="21" t="inlineStr">
        <is>
          <t>EBITDA</t>
        </is>
      </c>
      <c r="C21" s="27">
        <f>C16+C20</f>
        <v/>
      </c>
      <c r="D21" s="27">
        <f>D16+D20</f>
        <v/>
      </c>
      <c r="E21" s="27">
        <f>E16+E20</f>
        <v/>
      </c>
      <c r="F21" s="27">
        <f>F16+F20</f>
        <v/>
      </c>
      <c r="G21" s="27">
        <f>G16+G20</f>
        <v/>
      </c>
      <c r="H21" s="27">
        <f>H16+H20</f>
        <v/>
      </c>
      <c r="I21" s="27">
        <f>I16+I20</f>
        <v/>
      </c>
      <c r="J21" s="27">
        <f>J16+J20</f>
        <v/>
      </c>
    </row>
    <row r="22">
      <c r="B22" t="inlineStr">
        <is>
          <t>EBITDA margin %</t>
        </is>
      </c>
      <c r="C22" s="7">
        <f>C21/C9</f>
        <v/>
      </c>
      <c r="D22" s="7">
        <f>D21/D9</f>
        <v/>
      </c>
      <c r="E22" s="7">
        <f>E21/E9</f>
        <v/>
      </c>
      <c r="F22" s="7">
        <f>F21/F9</f>
        <v/>
      </c>
      <c r="G22" s="7">
        <f>G21/G9</f>
        <v/>
      </c>
      <c r="H22" s="7">
        <f>H21/H9</f>
        <v/>
      </c>
      <c r="I22" s="7">
        <f>I21/I9</f>
        <v/>
      </c>
      <c r="J22" s="7">
        <f>J21/J9</f>
        <v/>
      </c>
    </row>
    <row r="24">
      <c r="B24" t="inlineStr">
        <is>
          <t>Effective tax rate</t>
        </is>
      </c>
      <c r="C24" s="28">
        <f>'2. Assumptions'!C18</f>
        <v/>
      </c>
      <c r="D24" s="28">
        <f>'2. Assumptions'!D18</f>
        <v/>
      </c>
      <c r="E24" s="28">
        <f>'2. Assumptions'!E18</f>
        <v/>
      </c>
      <c r="F24" s="28">
        <f>'2. Assumptions'!F18</f>
        <v/>
      </c>
      <c r="G24" s="28">
        <f>'2. Assumptions'!G18</f>
        <v/>
      </c>
      <c r="H24" s="28">
        <f>'2. Assumptions'!H18</f>
        <v/>
      </c>
      <c r="I24" s="28">
        <f>'2. Assumptions'!I18</f>
        <v/>
      </c>
      <c r="J24" s="28">
        <f>'2. Assumptions'!J18</f>
        <v/>
      </c>
    </row>
    <row r="25">
      <c r="B25" t="inlineStr">
        <is>
          <t>Tax on EBIT</t>
        </is>
      </c>
      <c r="C25" s="29">
        <f>C16*C24</f>
        <v/>
      </c>
      <c r="D25" s="29">
        <f>D16*D24</f>
        <v/>
      </c>
      <c r="E25" s="29">
        <f>E16*E24</f>
        <v/>
      </c>
      <c r="F25" s="29">
        <f>F16*F24</f>
        <v/>
      </c>
      <c r="G25" s="29">
        <f>G16*G24</f>
        <v/>
      </c>
      <c r="H25" s="29">
        <f>H16*H24</f>
        <v/>
      </c>
      <c r="I25" s="29">
        <f>I16*I24</f>
        <v/>
      </c>
      <c r="J25" s="29">
        <f>J16*J24</f>
        <v/>
      </c>
    </row>
    <row r="26">
      <c r="B26" s="21" t="inlineStr">
        <is>
          <t>NOPAT</t>
        </is>
      </c>
      <c r="C26" s="22">
        <f>C16-C25</f>
        <v/>
      </c>
      <c r="D26" s="22">
        <f>D16-D25</f>
        <v/>
      </c>
      <c r="E26" s="22">
        <f>E16-E25</f>
        <v/>
      </c>
      <c r="F26" s="22">
        <f>F16-F25</f>
        <v/>
      </c>
      <c r="G26" s="22">
        <f>G16-G25</f>
        <v/>
      </c>
      <c r="H26" s="22">
        <f>H16-H25</f>
        <v/>
      </c>
      <c r="I26" s="22">
        <f>I16-I25</f>
        <v/>
      </c>
      <c r="J26" s="22">
        <f>J16-J25</f>
        <v/>
      </c>
    </row>
    <row r="28">
      <c r="B28" s="30" t="inlineStr">
        <is>
          <t>FCFF BUILD</t>
        </is>
      </c>
    </row>
    <row r="29">
      <c r="B29" t="inlineStr">
        <is>
          <t>Capex</t>
        </is>
      </c>
      <c r="C29" s="29">
        <f>-C9*'2. Assumptions'!C16</f>
        <v/>
      </c>
      <c r="D29" s="29">
        <f>-D9*'2. Assumptions'!D16</f>
        <v/>
      </c>
      <c r="E29" s="29">
        <f>-E9*'2. Assumptions'!E16</f>
        <v/>
      </c>
      <c r="F29" s="29">
        <f>-F9*'2. Assumptions'!F16</f>
        <v/>
      </c>
      <c r="G29" s="29">
        <f>-G9*'2. Assumptions'!G16</f>
        <v/>
      </c>
      <c r="H29" s="29">
        <f>-H9*'2. Assumptions'!H16</f>
        <v/>
      </c>
      <c r="I29" s="29">
        <f>-I9*'2. Assumptions'!I16</f>
        <v/>
      </c>
      <c r="J29" s="29">
        <f>-J9*'2. Assumptions'!J16</f>
        <v/>
      </c>
    </row>
    <row r="30">
      <c r="B30" t="inlineStr">
        <is>
          <t>NWC change</t>
        </is>
      </c>
      <c r="C30" s="29">
        <f>-C9*'2. Assumptions'!C17</f>
        <v/>
      </c>
      <c r="D30" s="29">
        <f>-D9*'2. Assumptions'!D17</f>
        <v/>
      </c>
      <c r="E30" s="29">
        <f>-E9*'2. Assumptions'!E17</f>
        <v/>
      </c>
      <c r="F30" s="29">
        <f>-F9*'2. Assumptions'!F17</f>
        <v/>
      </c>
      <c r="G30" s="29">
        <f>-G9*'2. Assumptions'!G17</f>
        <v/>
      </c>
      <c r="H30" s="29">
        <f>-H9*'2. Assumptions'!H17</f>
        <v/>
      </c>
      <c r="I30" s="29">
        <f>-I9*'2. Assumptions'!I17</f>
        <v/>
      </c>
      <c r="J30" s="29">
        <f>-J9*'2. Assumptions'!J17</f>
        <v/>
      </c>
    </row>
    <row r="31">
      <c r="B31" s="21" t="inlineStr">
        <is>
          <t>FCFF</t>
        </is>
      </c>
      <c r="C31" s="27">
        <f>C26+C20+C29+C30</f>
        <v/>
      </c>
      <c r="D31" s="27">
        <f>D26+D20+D29+D30</f>
        <v/>
      </c>
      <c r="E31" s="27">
        <f>E26+E20+E29+E30</f>
        <v/>
      </c>
      <c r="F31" s="27">
        <f>F26+F20+F29+F30</f>
        <v/>
      </c>
      <c r="G31" s="27">
        <f>G26+G20+G29+G30</f>
        <v/>
      </c>
      <c r="H31" s="27">
        <f>H26+H20+H29+H30</f>
        <v/>
      </c>
      <c r="I31" s="27">
        <f>I26+I20+I29+I30</f>
        <v/>
      </c>
      <c r="J31" s="27">
        <f>J26+J20+J29+J30</f>
        <v/>
      </c>
    </row>
    <row r="32">
      <c r="B32" t="inlineStr">
        <is>
          <t>FCFF margin</t>
        </is>
      </c>
      <c r="C32" s="7">
        <f>C31/C9</f>
        <v/>
      </c>
      <c r="D32" s="7">
        <f>D31/D9</f>
        <v/>
      </c>
      <c r="E32" s="7">
        <f>E31/E9</f>
        <v/>
      </c>
      <c r="F32" s="7">
        <f>F31/F9</f>
        <v/>
      </c>
      <c r="G32" s="7">
        <f>G31/G9</f>
        <v/>
      </c>
      <c r="H32" s="7">
        <f>H31/H9</f>
        <v/>
      </c>
      <c r="I32" s="7">
        <f>I31/I9</f>
        <v/>
      </c>
      <c r="J32" s="7">
        <f>J31/J9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8" t="inlineStr">
        <is>
          <t>DISCOUNTED CASH FLOW VALUATION</t>
        </is>
      </c>
    </row>
    <row r="4">
      <c r="C4" s="19" t="inlineStr">
        <is>
          <t>FY26E</t>
        </is>
      </c>
      <c r="D4" s="19" t="inlineStr">
        <is>
          <t>FY27E</t>
        </is>
      </c>
      <c r="E4" s="19" t="inlineStr">
        <is>
          <t>FY28E</t>
        </is>
      </c>
      <c r="F4" s="19" t="inlineStr">
        <is>
          <t>FY29E</t>
        </is>
      </c>
      <c r="G4" s="19" t="inlineStr">
        <is>
          <t>FY30E</t>
        </is>
      </c>
    </row>
    <row r="5">
      <c r="B5" t="inlineStr">
        <is>
          <t>Year #</t>
        </is>
      </c>
      <c r="C5" s="31" t="n">
        <v>1</v>
      </c>
      <c r="D5" s="31" t="n">
        <v>2</v>
      </c>
      <c r="E5" s="31" t="n">
        <v>3</v>
      </c>
      <c r="F5" s="31" t="n">
        <v>4</v>
      </c>
      <c r="G5" s="31" t="n">
        <v>5</v>
      </c>
    </row>
    <row r="6">
      <c r="B6" t="inlineStr">
        <is>
          <t>Discount period (mid-year)</t>
        </is>
      </c>
      <c r="C6" s="32" t="n">
        <v>0.5</v>
      </c>
      <c r="D6" s="32" t="n">
        <v>1.5</v>
      </c>
      <c r="E6" s="32" t="n">
        <v>2.5</v>
      </c>
      <c r="F6" s="32" t="n">
        <v>3.5</v>
      </c>
      <c r="G6" s="32" t="n">
        <v>4.5</v>
      </c>
    </row>
    <row r="7">
      <c r="B7" t="inlineStr">
        <is>
          <t>FCFF (link from IS)</t>
        </is>
      </c>
      <c r="C7" s="26">
        <f>'3. Income Statement'!F31</f>
        <v/>
      </c>
      <c r="D7" s="26">
        <f>'3. Income Statement'!G31</f>
        <v/>
      </c>
      <c r="E7" s="26">
        <f>'3. Income Statement'!H31</f>
        <v/>
      </c>
      <c r="F7" s="26">
        <f>'3. Income Statement'!I31</f>
        <v/>
      </c>
      <c r="G7" s="26">
        <f>'3. Income Statement'!J31</f>
        <v/>
      </c>
    </row>
    <row r="8">
      <c r="B8" t="inlineStr">
        <is>
          <t>WACC</t>
        </is>
      </c>
      <c r="C8" s="33">
        <f>'5. WACC'!C12</f>
        <v/>
      </c>
      <c r="D8" s="34">
        <f>$C$8</f>
        <v/>
      </c>
      <c r="E8" s="34">
        <f>$C$8</f>
        <v/>
      </c>
      <c r="F8" s="34">
        <f>$C$8</f>
        <v/>
      </c>
      <c r="G8" s="34">
        <f>$C$8</f>
        <v/>
      </c>
    </row>
    <row r="9">
      <c r="B9" t="inlineStr">
        <is>
          <t>Discount factor</t>
        </is>
      </c>
      <c r="C9" s="35">
        <f>1/(1+C8)^C6</f>
        <v/>
      </c>
      <c r="D9" s="35">
        <f>1/(1+D8)^D6</f>
        <v/>
      </c>
      <c r="E9" s="35">
        <f>1/(1+E8)^E6</f>
        <v/>
      </c>
      <c r="F9" s="35">
        <f>1/(1+F8)^F6</f>
        <v/>
      </c>
      <c r="G9" s="35">
        <f>1/(1+G8)^G6</f>
        <v/>
      </c>
    </row>
    <row r="10">
      <c r="B10" s="21" t="inlineStr">
        <is>
          <t>PV of FCFF</t>
        </is>
      </c>
      <c r="C10" s="22">
        <f>C7*C9</f>
        <v/>
      </c>
      <c r="D10" s="22">
        <f>D7*D9</f>
        <v/>
      </c>
      <c r="E10" s="22">
        <f>E7*E9</f>
        <v/>
      </c>
      <c r="F10" s="22">
        <f>F7*F9</f>
        <v/>
      </c>
      <c r="G10" s="22">
        <f>G7*G9</f>
        <v/>
      </c>
    </row>
    <row r="12">
      <c r="B12" s="30" t="inlineStr">
        <is>
          <t>TERMINAL VALUE (Gordon growth)</t>
        </is>
      </c>
    </row>
    <row r="13">
      <c r="B13" t="inlineStr">
        <is>
          <t>Terminal growth rate</t>
        </is>
      </c>
      <c r="C13" s="36" t="n">
        <v>0.03</v>
      </c>
    </row>
    <row r="14">
      <c r="B14" t="inlineStr">
        <is>
          <t>Terminal FCFF</t>
        </is>
      </c>
      <c r="C14" s="29">
        <f>G7*(1+C13)</f>
        <v/>
      </c>
    </row>
    <row r="15">
      <c r="B15" t="inlineStr">
        <is>
          <t>Terminal value (undiscounted)</t>
        </is>
      </c>
      <c r="C15" s="29">
        <f>C14/(C8-C13)</f>
        <v/>
      </c>
    </row>
    <row r="16">
      <c r="B16" t="inlineStr">
        <is>
          <t>PV of terminal value</t>
        </is>
      </c>
      <c r="C16" s="22">
        <f>C15*G9</f>
        <v/>
      </c>
    </row>
    <row r="18">
      <c r="B18" s="30" t="inlineStr">
        <is>
          <t>VALUATION SUMMARY</t>
        </is>
      </c>
    </row>
    <row r="19">
      <c r="B19" t="inlineStr">
        <is>
          <t>Sum of PV(FCFF)</t>
        </is>
      </c>
      <c r="C19" s="29">
        <f>SUM(C10:G10)</f>
        <v/>
      </c>
    </row>
    <row r="20">
      <c r="B20" t="inlineStr">
        <is>
          <t>PV of terminal value</t>
        </is>
      </c>
      <c r="C20" s="29">
        <f>C16</f>
        <v/>
      </c>
    </row>
    <row r="21">
      <c r="B21" t="inlineStr">
        <is>
          <t>Enterprise value</t>
        </is>
      </c>
      <c r="C21" s="27">
        <f>C19+C20</f>
        <v/>
      </c>
    </row>
    <row r="22">
      <c r="B22" t="inlineStr">
        <is>
          <t>Less: Net debt (FY25)</t>
        </is>
      </c>
      <c r="C22" s="8" t="n">
        <v>48958</v>
      </c>
    </row>
    <row r="23">
      <c r="B23" t="inlineStr">
        <is>
          <t>Equity value</t>
        </is>
      </c>
      <c r="C23" s="22">
        <f>C21-C22</f>
        <v/>
      </c>
    </row>
    <row r="24">
      <c r="B24" t="inlineStr">
        <is>
          <t>Diluted shares (mn)</t>
        </is>
      </c>
      <c r="C24" s="8" t="n">
        <v>4969</v>
      </c>
    </row>
    <row r="25">
      <c r="B25" t="inlineStr">
        <is>
          <t>Implied price per share</t>
        </is>
      </c>
      <c r="C25" s="37">
        <f>C23/C24</f>
        <v/>
      </c>
    </row>
    <row r="26">
      <c r="B26" t="inlineStr">
        <is>
          <t>Spot price</t>
        </is>
      </c>
      <c r="C26" s="6" t="n">
        <v>422.76</v>
      </c>
    </row>
    <row r="27">
      <c r="B27" t="inlineStr">
        <is>
          <t>Implied upside / (downside)</t>
        </is>
      </c>
      <c r="C27" s="7">
        <f>C25/C26-1</f>
        <v/>
      </c>
    </row>
    <row r="28">
      <c r="B28" t="inlineStr">
        <is>
          <t>TV % of EV</t>
        </is>
      </c>
      <c r="C28" s="7">
        <f>C20/C21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30" customWidth="1" min="4" max="4"/>
  </cols>
  <sheetData>
    <row r="2">
      <c r="B2" s="18" t="inlineStr">
        <is>
          <t>WEIGHTED AVERAGE COST OF CAPITAL</t>
        </is>
      </c>
    </row>
    <row r="4">
      <c r="B4" t="inlineStr">
        <is>
          <t>Risk-free rate (10Y UST)</t>
        </is>
      </c>
      <c r="C4" s="36" t="n">
        <v>0.0431</v>
      </c>
      <c r="D4" s="38" t="inlineStr">
        <is>
          <t>10Y UST close 24-Apr-26 (Yahoo)</t>
        </is>
      </c>
    </row>
    <row r="5">
      <c r="B5" t="inlineStr">
        <is>
          <t>Equity risk premium</t>
        </is>
      </c>
      <c r="C5" s="36" t="n">
        <v>0.05</v>
      </c>
      <c r="D5" s="38" t="inlineStr">
        <is>
          <t>Damodaran 2025 implied ERP</t>
        </is>
      </c>
    </row>
    <row r="6">
      <c r="B6" t="inlineStr">
        <is>
          <t>Levered beta</t>
        </is>
      </c>
      <c r="C6" s="39" t="n">
        <v>1.2</v>
      </c>
      <c r="D6" s="38" t="inlineStr">
        <is>
          <t>Bloomberg 2Y weekly</t>
        </is>
      </c>
    </row>
    <row r="7">
      <c r="B7" t="inlineStr">
        <is>
          <t>Pre-tax cost of debt</t>
        </is>
      </c>
      <c r="C7" s="36" t="n">
        <v>0.05</v>
      </c>
      <c r="D7" s="38" t="inlineStr">
        <is>
          <t>Senior notes blended yield</t>
        </is>
      </c>
    </row>
    <row r="8">
      <c r="B8" t="inlineStr">
        <is>
          <t>Effective tax rate</t>
        </is>
      </c>
      <c r="C8" s="25" t="n">
        <v>0.18</v>
      </c>
      <c r="D8" s="38" t="inlineStr">
        <is>
          <t>AVGO 10-K FY25</t>
        </is>
      </c>
    </row>
    <row r="9">
      <c r="B9" t="inlineStr">
        <is>
          <t>Target debt weight</t>
        </is>
      </c>
      <c r="C9" s="25" t="n">
        <v>0.15</v>
      </c>
      <c r="D9" s="38" t="inlineStr">
        <is>
          <t>Mgmt long-term capital structure</t>
        </is>
      </c>
    </row>
    <row r="11">
      <c r="B11" t="inlineStr">
        <is>
          <t>Cost of equity (CAPM)</t>
        </is>
      </c>
      <c r="C11" s="40">
        <f>C4+C6*C5</f>
        <v/>
      </c>
    </row>
    <row r="12">
      <c r="B12" s="21" t="inlineStr">
        <is>
          <t>WACC</t>
        </is>
      </c>
      <c r="C12" s="41" t="n">
        <v>0.095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2">
      <c r="B2" s="18" t="inlineStr">
        <is>
          <t>DCF SENSITIVITY — IMPLIED PRICE BY WACC × TERMINAL GROWTH</t>
        </is>
      </c>
    </row>
    <row r="4">
      <c r="B4" s="19" t="inlineStr">
        <is>
          <t>WACC \ g</t>
        </is>
      </c>
      <c r="C4" s="19" t="inlineStr">
        <is>
          <t>2.0%</t>
        </is>
      </c>
      <c r="D4" s="19" t="inlineStr">
        <is>
          <t>2.5%</t>
        </is>
      </c>
      <c r="E4" s="19" t="inlineStr">
        <is>
          <t>3.0%</t>
        </is>
      </c>
      <c r="F4" s="19" t="inlineStr">
        <is>
          <t>3.5%</t>
        </is>
      </c>
      <c r="G4" s="19" t="inlineStr">
        <is>
          <t>4.0%</t>
        </is>
      </c>
    </row>
    <row r="5">
      <c r="B5" s="19" t="inlineStr">
        <is>
          <t>7.5%</t>
        </is>
      </c>
      <c r="C5" s="42" t="n">
        <v>536.7</v>
      </c>
      <c r="D5" s="42" t="n">
        <v>584.2</v>
      </c>
      <c r="E5" s="42" t="n">
        <v>642.3</v>
      </c>
      <c r="F5" s="42" t="n">
        <v>714.8</v>
      </c>
      <c r="G5" s="42" t="n">
        <v>808.1</v>
      </c>
    </row>
    <row r="6">
      <c r="B6" s="19" t="inlineStr">
        <is>
          <t>8.0%</t>
        </is>
      </c>
      <c r="C6" s="42" t="n">
        <v>489.4</v>
      </c>
      <c r="D6" s="42" t="n">
        <v>528.3</v>
      </c>
      <c r="E6" s="42" t="n">
        <v>575.1</v>
      </c>
      <c r="F6" s="42" t="n">
        <v>632.2</v>
      </c>
      <c r="G6" s="42" t="n">
        <v>703.6</v>
      </c>
    </row>
    <row r="7">
      <c r="B7" s="19" t="inlineStr">
        <is>
          <t>8.5%</t>
        </is>
      </c>
      <c r="C7" s="42" t="n">
        <v>449.4</v>
      </c>
      <c r="D7" s="42" t="n">
        <v>481.8</v>
      </c>
      <c r="E7" s="42" t="n">
        <v>520.1</v>
      </c>
      <c r="F7" s="42" t="n">
        <v>566.1</v>
      </c>
      <c r="G7" s="42" t="n">
        <v>622.3</v>
      </c>
    </row>
    <row r="8">
      <c r="B8" s="19" t="inlineStr">
        <is>
          <t>9.0%</t>
        </is>
      </c>
      <c r="C8" s="42" t="n">
        <v>415.1</v>
      </c>
      <c r="D8" s="42" t="n">
        <v>442.4</v>
      </c>
      <c r="E8" s="42" t="n">
        <v>474.3</v>
      </c>
      <c r="F8" s="42" t="n">
        <v>512</v>
      </c>
      <c r="G8" s="42" t="n">
        <v>557.3</v>
      </c>
    </row>
    <row r="9">
      <c r="B9" s="19" t="inlineStr">
        <is>
          <t>9.5%</t>
        </is>
      </c>
      <c r="C9" s="42" t="n">
        <v>385.4</v>
      </c>
      <c r="D9" s="42" t="n">
        <v>408.7</v>
      </c>
      <c r="E9" s="42" t="n">
        <v>435.6</v>
      </c>
      <c r="F9" s="42" t="n">
        <v>467</v>
      </c>
      <c r="G9" s="42" t="n">
        <v>504.1</v>
      </c>
    </row>
    <row r="10">
      <c r="B10" s="19" t="inlineStr">
        <is>
          <t>10.0%</t>
        </is>
      </c>
      <c r="C10" s="42" t="n">
        <v>359.4</v>
      </c>
      <c r="D10" s="42" t="n">
        <v>379.5</v>
      </c>
      <c r="E10" s="42" t="n">
        <v>402.5</v>
      </c>
      <c r="F10" s="42" t="n">
        <v>429</v>
      </c>
      <c r="G10" s="42" t="n">
        <v>459.9</v>
      </c>
    </row>
    <row r="11">
      <c r="B11" s="19" t="inlineStr">
        <is>
          <t>10.5%</t>
        </is>
      </c>
      <c r="C11" s="42" t="n">
        <v>336.6</v>
      </c>
      <c r="D11" s="42" t="n">
        <v>354</v>
      </c>
      <c r="E11" s="42" t="n">
        <v>373.8</v>
      </c>
      <c r="F11" s="42" t="n">
        <v>396.4</v>
      </c>
      <c r="G11" s="42" t="n">
        <v>422.4</v>
      </c>
    </row>
    <row r="12">
      <c r="B12" s="19" t="inlineStr">
        <is>
          <t>11.0%</t>
        </is>
      </c>
      <c r="C12" s="42" t="n">
        <v>316.2</v>
      </c>
      <c r="D12" s="42" t="n">
        <v>331.5</v>
      </c>
      <c r="E12" s="42" t="n">
        <v>348.7</v>
      </c>
      <c r="F12" s="42" t="n">
        <v>368.1</v>
      </c>
      <c r="G12" s="42" t="n">
        <v>390.4</v>
      </c>
    </row>
    <row r="13">
      <c r="B13" s="19" t="inlineStr">
        <is>
          <t>11.5%</t>
        </is>
      </c>
      <c r="C13" s="42" t="n">
        <v>298.1</v>
      </c>
      <c r="D13" s="42" t="n">
        <v>311.5</v>
      </c>
      <c r="E13" s="42" t="n">
        <v>326.6</v>
      </c>
      <c r="F13" s="42" t="n">
        <v>343.5</v>
      </c>
      <c r="G13" s="42" t="n">
        <v>362.6</v>
      </c>
    </row>
    <row r="14">
      <c r="B14" s="19" t="inlineStr">
        <is>
          <t>12.0%</t>
        </is>
      </c>
      <c r="C14" s="42" t="n">
        <v>281.8</v>
      </c>
      <c r="D14" s="42" t="n">
        <v>293.7</v>
      </c>
      <c r="E14" s="42" t="n">
        <v>306.9</v>
      </c>
      <c r="F14" s="42" t="n">
        <v>321.7</v>
      </c>
      <c r="G14" s="42" t="n">
        <v>338.3</v>
      </c>
    </row>
  </sheetData>
  <conditionalFormatting sqref="C5:G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2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>
      <c r="B2" s="18" t="inlineStr">
        <is>
          <t>TRADING COMPARABLES</t>
        </is>
      </c>
    </row>
    <row r="4">
      <c r="B4" s="19" t="inlineStr">
        <is>
          <t>Ticker</t>
        </is>
      </c>
      <c r="C4" s="19" t="inlineStr">
        <is>
          <t>Name</t>
        </is>
      </c>
      <c r="D4" s="19" t="inlineStr">
        <is>
          <t>Price</t>
        </is>
      </c>
      <c r="E4" s="19" t="inlineStr">
        <is>
          <t>MktCap_$B</t>
        </is>
      </c>
      <c r="F4" s="19" t="inlineStr">
        <is>
          <t>EV_$B</t>
        </is>
      </c>
      <c r="G4" s="19" t="inlineStr">
        <is>
          <t>Fwd P/E</t>
        </is>
      </c>
      <c r="H4" s="19" t="inlineStr">
        <is>
          <t>EV/Rev</t>
        </is>
      </c>
      <c r="I4" s="19" t="inlineStr">
        <is>
          <t>EV/EBITDA</t>
        </is>
      </c>
      <c r="J4" s="19" t="inlineStr">
        <is>
          <t>GM %</t>
        </is>
      </c>
      <c r="K4" s="19" t="inlineStr">
        <is>
          <t>Op M %</t>
        </is>
      </c>
      <c r="L4" s="19" t="inlineStr">
        <is>
          <t>Rev Gr %</t>
        </is>
      </c>
      <c r="M4" s="19" t="inlineStr">
        <is>
          <t>Beta</t>
        </is>
      </c>
    </row>
    <row r="5">
      <c r="B5" s="43" t="inlineStr">
        <is>
          <t>AVGO</t>
        </is>
      </c>
      <c r="C5" s="43" t="inlineStr">
        <is>
          <t>Broadcom</t>
        </is>
      </c>
      <c r="D5" s="44" t="n">
        <v>399.83</v>
      </c>
      <c r="E5" s="45" t="n">
        <v>1893.06241024</v>
      </c>
      <c r="F5" s="45" t="n">
        <v>1944.945426432</v>
      </c>
      <c r="G5" s="46" t="n">
        <v>22.068169</v>
      </c>
      <c r="H5" s="46" t="n">
        <v>28.484</v>
      </c>
      <c r="I5" s="46" t="n">
        <v>52.258</v>
      </c>
      <c r="J5" s="47" t="n">
        <v>0.76725996</v>
      </c>
      <c r="K5" s="47" t="n">
        <v>0.44943002</v>
      </c>
      <c r="L5" s="47" t="n">
        <v>0.295</v>
      </c>
      <c r="M5" s="48" t="n">
        <v>1.253</v>
      </c>
    </row>
    <row r="6">
      <c r="B6" t="inlineStr">
        <is>
          <t>NVDA</t>
        </is>
      </c>
      <c r="C6" t="inlineStr">
        <is>
          <t>Nvidia</t>
        </is>
      </c>
      <c r="D6" s="6" t="n">
        <v>213.17</v>
      </c>
      <c r="E6" s="49" t="n">
        <v>5181.096853504</v>
      </c>
      <c r="F6" s="49" t="n">
        <v>5128.887205888</v>
      </c>
      <c r="G6" s="50" t="n">
        <v>18.966686</v>
      </c>
      <c r="H6" s="50" t="n">
        <v>23.752</v>
      </c>
      <c r="I6" s="50" t="n">
        <v>38.496</v>
      </c>
      <c r="J6" s="24" t="n">
        <v>0.71068</v>
      </c>
      <c r="K6" s="24" t="n">
        <v>0.65024</v>
      </c>
      <c r="L6" s="24" t="n">
        <v>0.732</v>
      </c>
      <c r="M6" s="51" t="n">
        <v>2.335</v>
      </c>
    </row>
    <row r="7">
      <c r="B7" t="inlineStr">
        <is>
          <t>AMD</t>
        </is>
      </c>
      <c r="C7" t="inlineStr">
        <is>
          <t>Advanced Micro Devices</t>
        </is>
      </c>
      <c r="D7" s="6" t="n">
        <v>323.21</v>
      </c>
      <c r="E7" s="49" t="n">
        <v>526.9650800639999</v>
      </c>
      <c r="F7" s="49" t="n">
        <v>520.41908224</v>
      </c>
      <c r="G7" s="50" t="n">
        <v>29.262484</v>
      </c>
      <c r="H7" s="50" t="n">
        <v>15.024</v>
      </c>
      <c r="I7" s="50" t="n">
        <v>77.15600000000001</v>
      </c>
      <c r="J7" s="24" t="n">
        <v>0.52493</v>
      </c>
      <c r="K7" s="24" t="n">
        <v>0.17059</v>
      </c>
      <c r="L7" s="24" t="n">
        <v>0.341</v>
      </c>
      <c r="M7" s="51" t="n">
        <v>1.963</v>
      </c>
    </row>
    <row r="8">
      <c r="B8" t="inlineStr">
        <is>
          <t>MRVL</t>
        </is>
      </c>
      <c r="C8" t="inlineStr">
        <is>
          <t>Marvell Technology</t>
        </is>
      </c>
      <c r="D8" s="6" t="n">
        <v>153.23</v>
      </c>
      <c r="E8" s="49" t="n">
        <v>133.993234432</v>
      </c>
      <c r="F8" s="49" t="n">
        <v>136.120492032</v>
      </c>
      <c r="G8" s="50" t="n">
        <v>28.247398</v>
      </c>
      <c r="H8" s="50" t="n">
        <v>16.611</v>
      </c>
      <c r="I8" s="50" t="n">
        <v>51.767</v>
      </c>
      <c r="J8" s="24" t="n">
        <v>0.51023996</v>
      </c>
      <c r="K8" s="24" t="n">
        <v>0.18655</v>
      </c>
      <c r="L8" s="24" t="n">
        <v>0.221</v>
      </c>
      <c r="M8" s="51" t="n">
        <v>1.822</v>
      </c>
    </row>
    <row r="9">
      <c r="B9" t="inlineStr">
        <is>
          <t>QCOM</t>
        </is>
      </c>
      <c r="C9" t="inlineStr">
        <is>
          <t>Qualcomm</t>
        </is>
      </c>
      <c r="D9" s="6" t="n">
        <v>150</v>
      </c>
      <c r="E9" s="49" t="n">
        <v>160.20676608</v>
      </c>
      <c r="F9" s="49" t="n">
        <v>163.044999168</v>
      </c>
      <c r="G9" s="50" t="n">
        <v>13.614815</v>
      </c>
      <c r="H9" s="50" t="n">
        <v>3.634</v>
      </c>
      <c r="I9" s="50" t="n">
        <v>11.846</v>
      </c>
      <c r="J9" s="24" t="n">
        <v>0.55101</v>
      </c>
      <c r="K9" s="24" t="n">
        <v>0.27473</v>
      </c>
      <c r="L9" s="24" t="n">
        <v>0.05</v>
      </c>
      <c r="M9" s="51" t="n">
        <v>1.279</v>
      </c>
    </row>
    <row r="10">
      <c r="B10" t="inlineStr">
        <is>
          <t>TXN</t>
        </is>
      </c>
      <c r="C10" t="inlineStr">
        <is>
          <t>Texas Instruments</t>
        </is>
      </c>
      <c r="D10" s="6" t="n">
        <v>265</v>
      </c>
      <c r="E10" s="49" t="n">
        <v>241.174593536</v>
      </c>
      <c r="F10" s="49" t="n">
        <v>250.12158464</v>
      </c>
      <c r="G10" s="50" t="n">
        <v>28.996418</v>
      </c>
      <c r="H10" s="50" t="n">
        <v>13.566</v>
      </c>
      <c r="I10" s="50" t="n">
        <v>28.866</v>
      </c>
      <c r="J10" s="24" t="n">
        <v>0.57322</v>
      </c>
      <c r="K10" s="24" t="n">
        <v>0.37824002</v>
      </c>
      <c r="L10" s="24" t="n">
        <v>0.186</v>
      </c>
      <c r="M10" s="51" t="n">
        <v>0.994</v>
      </c>
    </row>
    <row r="11">
      <c r="B11" t="inlineStr">
        <is>
          <t>TSM</t>
        </is>
      </c>
      <c r="C11" t="inlineStr">
        <is>
          <t>Taiwan Semiconductor</t>
        </is>
      </c>
      <c r="D11" s="6" t="n">
        <v>392.34</v>
      </c>
      <c r="E11" s="49" t="n">
        <v>2034.832244736</v>
      </c>
      <c r="F11" s="49" t="n">
        <v>7848.46290944</v>
      </c>
      <c r="G11" s="50" t="n">
        <v>20.336739</v>
      </c>
      <c r="H11" s="50" t="n">
        <v>1.912</v>
      </c>
      <c r="I11" s="50" t="n">
        <v>2.748</v>
      </c>
      <c r="J11" s="24" t="n">
        <v>0.61873</v>
      </c>
      <c r="K11" s="24" t="n">
        <v>0.58105</v>
      </c>
      <c r="L11" s="24" t="n">
        <v>0.351</v>
      </c>
      <c r="M11" s="51" t="n">
        <v>1.251</v>
      </c>
    </row>
    <row r="12">
      <c r="B12" t="inlineStr">
        <is>
          <t>INTC</t>
        </is>
      </c>
      <c r="C12" t="inlineStr">
        <is>
          <t>Intel</t>
        </is>
      </c>
      <c r="D12" s="6" t="n">
        <v>84.52</v>
      </c>
      <c r="E12" s="49" t="n">
        <v>424.797503488</v>
      </c>
      <c r="F12" s="49" t="n">
        <v>450.634514432</v>
      </c>
      <c r="G12" s="50" t="n">
        <v>57.392353</v>
      </c>
      <c r="H12" s="50" t="n">
        <v>8.382</v>
      </c>
      <c r="I12" s="50" t="n">
        <v>31.793</v>
      </c>
      <c r="J12" s="24" t="n">
        <v>0.372</v>
      </c>
      <c r="K12" s="24" t="n">
        <v>0.06879</v>
      </c>
      <c r="L12" s="24" t="n">
        <v>0.07199999999999999</v>
      </c>
      <c r="M12" s="51" t="n">
        <v>1.349</v>
      </c>
    </row>
    <row r="14">
      <c r="C14" s="52" t="inlineStr">
        <is>
          <t>Median (peers ex-AVGO)</t>
        </is>
      </c>
      <c r="D14" s="53">
        <f>MEDIAN(D6:D12)</f>
        <v/>
      </c>
      <c r="E14" s="29">
        <f>MEDIAN(E6:E12)</f>
        <v/>
      </c>
      <c r="F14" s="29">
        <f>MEDIAN(F6:F12)</f>
        <v/>
      </c>
      <c r="G14" s="54">
        <f>MEDIAN(G6:G12)</f>
        <v/>
      </c>
      <c r="H14" s="54">
        <f>MEDIAN(H6:H12)</f>
        <v/>
      </c>
      <c r="I14" s="54">
        <f>MEDIAN(I6:I12)</f>
        <v/>
      </c>
      <c r="J14" s="7">
        <f>MEDIAN(J6:J12)</f>
        <v/>
      </c>
      <c r="K14" s="7">
        <f>MEDIAN(K6:K12)</f>
        <v/>
      </c>
      <c r="L14" s="7">
        <f>MEDIAN(L6:L12)</f>
        <v/>
      </c>
      <c r="M14" s="55">
        <f>MEDIAN(M6:M12)</f>
        <v/>
      </c>
    </row>
    <row r="20">
      <c r="B20" s="10" t="inlineStr">
        <is>
          <t>IMPLIED PRICE FROM PEER MULTIPLES</t>
        </is>
      </c>
    </row>
    <row r="22">
      <c r="B22" t="inlineStr">
        <is>
          <t>CY27E EPS estimate ($)</t>
        </is>
      </c>
      <c r="C22" s="56">
        <f>'3. Income Statement'!G16*(1-'3. Income Statement'!G24)/'1. Cover'!C12</f>
        <v/>
      </c>
    </row>
    <row r="23">
      <c r="B23" t="inlineStr">
        <is>
          <t>Target Fwd P/E (low)</t>
        </is>
      </c>
      <c r="C23" s="50" t="n">
        <v>18</v>
      </c>
    </row>
    <row r="24">
      <c r="B24" t="inlineStr">
        <is>
          <t>Target Fwd P/E (mid)</t>
        </is>
      </c>
      <c r="C24" s="57" t="n">
        <v>22</v>
      </c>
    </row>
    <row r="25">
      <c r="B25" t="inlineStr">
        <is>
          <t>Target Fwd P/E (high)</t>
        </is>
      </c>
      <c r="C25" s="50" t="n">
        <v>26</v>
      </c>
    </row>
    <row r="26">
      <c r="B26" t="inlineStr">
        <is>
          <t>Implied price (low)</t>
        </is>
      </c>
      <c r="C26" s="42">
        <f>C22*C23</f>
        <v/>
      </c>
    </row>
    <row r="27">
      <c r="B27" t="inlineStr">
        <is>
          <t>Implied price (mid)</t>
        </is>
      </c>
      <c r="C27" s="42">
        <f>C22*C24</f>
        <v/>
      </c>
    </row>
    <row r="28">
      <c r="B28" t="inlineStr">
        <is>
          <t>Implied price (high)</t>
        </is>
      </c>
      <c r="C28" s="42">
        <f>C22*C25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Blended EBITDA margin FY25A = 67.7%; Software revenue weight = 37.4%; Semi revenue weight = 62.6%</t>
        </is>
      </c>
    </row>
    <row r="2">
      <c r="A2" t="inlineStr">
        <is>
          <t>If software EBITDA margin = 77% (Broadcom upper-bound), implied semi EBITDA margin = 62.0%</t>
        </is>
      </c>
      <c r="B2" s="18" t="inlineStr">
        <is>
          <t>SUM-OF-THE-PARTS (FY27E)</t>
        </is>
      </c>
    </row>
    <row r="4">
      <c r="B4" s="19" t="inlineStr">
        <is>
          <t>Segment</t>
        </is>
      </c>
      <c r="C4" s="19" t="inlineStr">
        <is>
          <t>FY27E Rev ($mn)</t>
        </is>
      </c>
      <c r="D4" s="19" t="inlineStr">
        <is>
          <t>EBITDA Margin</t>
        </is>
      </c>
      <c r="E4" s="19" t="inlineStr">
        <is>
          <t>FY27E EBITDA</t>
        </is>
      </c>
      <c r="F4" s="19" t="inlineStr">
        <is>
          <t>EV Mult Low</t>
        </is>
      </c>
      <c r="G4" s="19" t="inlineStr">
        <is>
          <t>EV Mult Mid</t>
        </is>
      </c>
      <c r="H4" s="19" t="inlineStr">
        <is>
          <t>EV Mult High</t>
        </is>
      </c>
    </row>
    <row r="5">
      <c r="B5" t="inlineStr">
        <is>
          <t>Semiconductor Solutions</t>
        </is>
      </c>
      <c r="C5" s="26">
        <f>'2. Assumptions'!G6+'2. Assumptions'!G7</f>
        <v/>
      </c>
      <c r="D5" s="25" t="n">
        <v>0.62</v>
      </c>
      <c r="E5" s="29">
        <f>C5*D5</f>
        <v/>
      </c>
      <c r="F5" s="50" t="n">
        <v>16</v>
      </c>
      <c r="G5" s="57" t="n">
        <v>20</v>
      </c>
      <c r="H5" s="50" t="n">
        <v>24</v>
      </c>
    </row>
    <row r="6">
      <c r="B6" t="inlineStr">
        <is>
          <t>Infrastructure Software</t>
        </is>
      </c>
      <c r="C6" s="26">
        <f>'2. Assumptions'!G8</f>
        <v/>
      </c>
      <c r="D6" s="25" t="n">
        <v>0.77</v>
      </c>
      <c r="E6" s="29">
        <f>C6*D6</f>
        <v/>
      </c>
      <c r="F6" s="50" t="n">
        <v>14</v>
      </c>
      <c r="G6" s="57" t="n">
        <v>17</v>
      </c>
      <c r="H6" s="50" t="n">
        <v>20</v>
      </c>
    </row>
    <row r="8">
      <c r="B8" s="21" t="inlineStr">
        <is>
          <t>Total EV ($mn)</t>
        </is>
      </c>
      <c r="F8" s="22">
        <f>E5*F5+E6*F6</f>
        <v/>
      </c>
      <c r="G8" s="22">
        <f>E5*G5+E6*G6</f>
        <v/>
      </c>
      <c r="H8" s="22">
        <f>E5*H5+E6*H6</f>
        <v/>
      </c>
    </row>
    <row r="9">
      <c r="B9" t="inlineStr">
        <is>
          <t>Less: Net debt</t>
        </is>
      </c>
      <c r="F9" s="8" t="n">
        <v>48958</v>
      </c>
      <c r="G9" s="8" t="n">
        <v>48958</v>
      </c>
      <c r="H9" s="8" t="n">
        <v>48958</v>
      </c>
    </row>
    <row r="10">
      <c r="B10" t="inlineStr">
        <is>
          <t>Equity value</t>
        </is>
      </c>
      <c r="F10" s="29">
        <f>F8-F9</f>
        <v/>
      </c>
      <c r="G10" s="29">
        <f>G8-G9</f>
        <v/>
      </c>
      <c r="H10" s="29">
        <f>H8-H9</f>
        <v/>
      </c>
    </row>
    <row r="11">
      <c r="B11" t="inlineStr">
        <is>
          <t>Diluted shares (mn)</t>
        </is>
      </c>
      <c r="F11" s="8" t="n">
        <v>4969</v>
      </c>
      <c r="G11" s="8" t="n">
        <v>4969</v>
      </c>
      <c r="H11" s="8" t="n">
        <v>4969</v>
      </c>
    </row>
    <row r="12">
      <c r="B12" s="21" t="inlineStr">
        <is>
          <t>Implied price per share</t>
        </is>
      </c>
      <c r="F12" s="58">
        <f>F10/F11</f>
        <v/>
      </c>
      <c r="G12" s="58">
        <f>G10/G11</f>
        <v/>
      </c>
      <c r="H12" s="58">
        <f>H10/H11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</cols>
  <sheetData>
    <row r="2">
      <c r="B2" s="18" t="inlineStr">
        <is>
          <t>MONTE CARLO SIMULATION SUMMARY</t>
        </is>
      </c>
    </row>
    <row r="3">
      <c r="B3" s="38" t="inlineStr">
        <is>
          <t>10,000 paths • Drivers in scripts/02_valuation.py</t>
        </is>
      </c>
    </row>
    <row r="5">
      <c r="B5" t="inlineStr">
        <is>
          <t>Mean intrinsic price</t>
        </is>
      </c>
      <c r="C5" s="6" t="n">
        <v>470.9281145261817</v>
      </c>
    </row>
    <row r="6">
      <c r="B6" t="inlineStr">
        <is>
          <t>Median</t>
        </is>
      </c>
      <c r="C6" s="6" t="n">
        <v>456.05096289124</v>
      </c>
    </row>
    <row r="7">
      <c r="B7" t="inlineStr">
        <is>
          <t>25th percentile (P25)</t>
        </is>
      </c>
      <c r="C7" s="6" t="n">
        <v>378.2573416082055</v>
      </c>
    </row>
    <row r="8">
      <c r="B8" t="inlineStr">
        <is>
          <t>75th percentile (P75)</t>
        </is>
      </c>
      <c r="C8" s="6" t="n">
        <v>543.7976413618968</v>
      </c>
    </row>
    <row r="9">
      <c r="B9" t="inlineStr">
        <is>
          <t>Probability(intrinsic &gt; spot)</t>
        </is>
      </c>
      <c r="C9" s="24" t="n">
        <v>0.6834935897435898</v>
      </c>
    </row>
    <row r="12">
      <c r="B12" s="13" t="inlineStr">
        <is>
          <t>Driver distribution (assumed Normal)</t>
        </is>
      </c>
    </row>
    <row r="13">
      <c r="B13" t="inlineStr">
        <is>
          <t xml:space="preserve">  FY27 AI revenue ($B)</t>
        </is>
      </c>
      <c r="C13" s="59" t="inlineStr">
        <is>
          <t>~ N(125, 25)</t>
        </is>
      </c>
    </row>
    <row r="14">
      <c r="B14" t="inlineStr">
        <is>
          <t xml:space="preserve">  AI growth FY27→FY30 CAGR</t>
        </is>
      </c>
      <c r="C14" s="59" t="inlineStr">
        <is>
          <t>~ N(30%, 10%)</t>
        </is>
      </c>
    </row>
    <row r="15">
      <c r="B15" t="inlineStr">
        <is>
          <t xml:space="preserve">  Terminal growth rate</t>
        </is>
      </c>
      <c r="C15" s="59" t="inlineStr">
        <is>
          <t>~ N(3.0%, 0.5%)</t>
        </is>
      </c>
    </row>
    <row r="16">
      <c r="B16" t="inlineStr">
        <is>
          <t xml:space="preserve">  WACC</t>
        </is>
      </c>
      <c r="C16" s="59" t="inlineStr">
        <is>
          <t>~ N(base WACC, 0.5%)</t>
        </is>
      </c>
    </row>
    <row r="17">
      <c r="B17" t="inlineStr">
        <is>
          <t xml:space="preserve">  Steady-state EBITDA margin</t>
        </is>
      </c>
      <c r="C17" s="59" t="inlineStr">
        <is>
          <t>~ N(68.5%, 2.5%)</t>
        </is>
      </c>
    </row>
    <row r="18">
      <c r="B18" t="inlineStr">
        <is>
          <t xml:space="preserve">  Capex / Sales</t>
        </is>
      </c>
      <c r="C18" s="59" t="inlineStr">
        <is>
          <t>~ N(1.1%, 0.3%)</t>
        </is>
      </c>
    </row>
    <row r="19">
      <c r="B19" t="inlineStr">
        <is>
          <t xml:space="preserve">  Non-AI semi growth</t>
        </is>
      </c>
      <c r="C19" s="59" t="inlineStr">
        <is>
          <t>~ N(4%, 2%)</t>
        </is>
      </c>
    </row>
    <row r="20">
      <c r="B20" t="inlineStr">
        <is>
          <t xml:space="preserve">  Software growth</t>
        </is>
      </c>
      <c r="C20" s="59" t="inlineStr">
        <is>
          <t>~ N(7%, 2.5%)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8" t="inlineStr">
        <is>
          <t>VALUATION SYNTHESIS — FOOTBALL FIELD</t>
        </is>
      </c>
    </row>
    <row r="4">
      <c r="B4" s="19" t="inlineStr">
        <is>
          <t>Method</t>
        </is>
      </c>
      <c r="C4" s="19" t="inlineStr">
        <is>
          <t>Low</t>
        </is>
      </c>
      <c r="D4" s="19" t="inlineStr">
        <is>
          <t>Mid</t>
        </is>
      </c>
      <c r="E4" s="19" t="inlineStr">
        <is>
          <t>High</t>
        </is>
      </c>
      <c r="F4" s="19" t="inlineStr">
        <is>
          <t>Implied Upside (Mid)</t>
        </is>
      </c>
    </row>
    <row r="5">
      <c r="B5" t="inlineStr">
        <is>
          <t>DCF (5Y FCFF + Gordon TV)</t>
        </is>
      </c>
      <c r="C5" s="49" t="n">
        <v>402.5</v>
      </c>
      <c r="D5" s="49">
        <f>'4. DCF'!C25</f>
        <v/>
      </c>
      <c r="E5" s="49" t="n">
        <v>474.3</v>
      </c>
      <c r="F5" s="7">
        <f>D5/'1. Cover'!C8-1</f>
        <v/>
      </c>
    </row>
    <row r="6">
      <c r="B6" t="inlineStr">
        <is>
          <t>SOTP (FY27E EV/EBITDA)</t>
        </is>
      </c>
      <c r="C6" s="49" t="n">
        <v>320.9221171261823</v>
      </c>
      <c r="D6" s="49" t="n">
        <v>401.2139263433286</v>
      </c>
      <c r="E6" s="49" t="n">
        <v>481.5057355604749</v>
      </c>
      <c r="F6" s="7">
        <f>D6/'1. Cover'!C8-1</f>
        <v/>
      </c>
    </row>
    <row r="7">
      <c r="B7" t="inlineStr">
        <is>
          <t>Trading Comps (Fwd P/E)</t>
        </is>
      </c>
      <c r="C7" s="49" t="n">
        <v>360</v>
      </c>
      <c r="D7" s="49" t="n">
        <v>440</v>
      </c>
      <c r="E7" s="49" t="n">
        <v>520</v>
      </c>
      <c r="F7" s="7">
        <f>D7/'1. Cover'!C8-1</f>
        <v/>
      </c>
    </row>
    <row r="8">
      <c r="B8" t="inlineStr">
        <is>
          <t>Trading Comps (EV/EBITDA)</t>
        </is>
      </c>
      <c r="C8" s="49" t="n">
        <v>316.2129201046488</v>
      </c>
      <c r="D8" s="49" t="n">
        <v>409.374522036627</v>
      </c>
      <c r="E8" s="49" t="n">
        <v>502.5361239686054</v>
      </c>
      <c r="F8" s="7">
        <f>D8/'1. Cover'!C8-1</f>
        <v/>
      </c>
    </row>
    <row r="9">
      <c r="B9" t="inlineStr">
        <is>
          <t>Monte Carlo (P25/Median/P75)</t>
        </is>
      </c>
      <c r="C9" s="49" t="n">
        <v>378.2573416082055</v>
      </c>
      <c r="D9" s="49" t="n">
        <v>456.05096289124</v>
      </c>
      <c r="E9" s="49" t="n">
        <v>543.7976413618968</v>
      </c>
      <c r="F9" s="7">
        <f>D9/422.76-1</f>
        <v/>
      </c>
    </row>
    <row r="10">
      <c r="B10" t="inlineStr">
        <is>
          <t>Street Consensus (last 30D)</t>
        </is>
      </c>
      <c r="C10" s="49" t="n">
        <v>430</v>
      </c>
      <c r="D10" s="49" t="n">
        <v>469</v>
      </c>
      <c r="E10" s="49" t="n">
        <v>500</v>
      </c>
      <c r="F10" s="7">
        <f>D10/422.76-1</f>
        <v/>
      </c>
    </row>
    <row r="12">
      <c r="B12" s="21" t="inlineStr">
        <is>
          <t>Average</t>
        </is>
      </c>
      <c r="C12" s="60">
        <f>AVERAGE(C5:C10)</f>
        <v/>
      </c>
      <c r="D12" s="60">
        <f>AVERAGE(D5:D10)</f>
        <v/>
      </c>
      <c r="E12" s="60">
        <f>AVERAGE(E5:E10)</f>
        <v/>
      </c>
    </row>
    <row r="14">
      <c r="B14" t="inlineStr">
        <is>
          <t>Spot price</t>
        </is>
      </c>
      <c r="C14" s="6">
        <f>'1. Cover'!C8</f>
        <v/>
      </c>
    </row>
    <row r="15">
      <c r="B15" s="21" t="inlineStr">
        <is>
          <t>Recommendation</t>
        </is>
      </c>
      <c r="C15" s="61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2026-04-29T05:43:47Z</dcterms:created>
  <dcterms:modified xsi:type="dcterms:W3CDTF">2026-04-30T03:07:55Z</dcterms:modified>
</cp:coreProperties>
</file>